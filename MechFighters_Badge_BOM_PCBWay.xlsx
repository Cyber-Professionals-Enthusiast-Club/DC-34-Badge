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<sst xmlns="http://schemas.openxmlformats.org/spreadsheetml/2006/main" count="159" uniqueCount="115">
  <si>
    <t xml:space="preserve">CPEC Mechfighters Badge Rev 1, 84PCS BOM  (Bill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</si>
  <si>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</si>
  <si>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</si>
  <si>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</si>
  <si>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</si>
  <si>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</si>
  <si>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</si>
  <si>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</si>
  <si>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</si>
  <si>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</si>
  <si>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D1</t>
  </si>
  <si>
    <t xml:space="preserve">MCC (Micro Commercial Components)</t>
  </si>
  <si>
    <t xml:space="preserve">MBR0540</t>
  </si>
  <si>
    <t xml:space="preserve">DIODE SCHOTTKY 40V 500MA SOD123</t>
  </si>
  <si>
    <t xml:space="preserve">SOD-123</t>
  </si>
  <si>
    <t xml:space="preserve">SMD</t>
  </si>
  <si>
    <t xml:space="preserve">D2</t>
  </si>
  <si>
    <t xml:space="preserve">Lite-On Inc.</t>
  </si>
  <si>
    <t xml:space="preserve">LTST-C190KSKT</t>
  </si>
  <si>
    <t xml:space="preserve">LED YELLOW CLEAR CHIP SMD</t>
  </si>
  <si>
    <t xml:space="preserve">0603 (1608 Metric)</t>
  </si>
  <si>
    <t xml:space="preserve">D9, D10, D11, D12, D13, D14</t>
  </si>
  <si>
    <t xml:space="preserve">LTST-C190KRKT</t>
  </si>
  <si>
    <t xml:space="preserve">LED RED CLEAR CHIP SMD</t>
  </si>
  <si>
    <t xml:space="preserve">Q1</t>
  </si>
  <si>
    <t xml:space="preserve">Shenzhen Slkormicro Semicon Co., Ltd.</t>
  </si>
  <si>
    <t xml:space="preserve">C1815</t>
  </si>
  <si>
    <t xml:space="preserve">50V 200MW 130@2MA,6V 150MA NPN S</t>
  </si>
  <si>
    <t xml:space="preserve">SOT-23</t>
  </si>
  <si>
    <t xml:space="preserve">Q2</t>
  </si>
  <si>
    <t xml:space="preserve">Diodes Incorporated</t>
  </si>
  <si>
    <t xml:space="preserve">DMG3415U-7</t>
  </si>
  <si>
    <t xml:space="preserve">MOSFET P-CH 20V 4A SOT23-3</t>
  </si>
  <si>
    <t xml:space="preserve">SOT-23-3</t>
  </si>
  <si>
    <t xml:space="preserve">J1</t>
  </si>
  <si>
    <t xml:space="preserve">Same Sky</t>
  </si>
  <si>
    <t xml:space="preserve">UJ20-C-H-G-SMT-5-P16-TR</t>
  </si>
  <si>
    <t xml:space="preserve">USB-C (USB TYPE-C)</t>
  </si>
  <si>
    <t xml:space="preserve">J2</t>
  </si>
  <si>
    <t xml:space="preserve">Amphenol ICC (FCI)</t>
  </si>
  <si>
    <t xml:space="preserve">62684-402100ALF</t>
  </si>
  <si>
    <t xml:space="preserve">CONN FPC TOP 40POS 0.5MM R/A</t>
  </si>
  <si>
    <t xml:space="preserve">U1</t>
  </si>
  <si>
    <t xml:space="preserve">Espressif Systems</t>
  </si>
  <si>
    <t xml:space="preserve">ESP32-S3-MINI-1-N8</t>
  </si>
  <si>
    <t xml:space="preserve">RF TXRX MOD BT WIFI PCB TH SMD</t>
  </si>
  <si>
    <t xml:space="preserve">41-SMD Module</t>
  </si>
  <si>
    <t xml:space="preserve">U2</t>
  </si>
  <si>
    <t xml:space="preserve">AP2112K-3.3TRG1</t>
  </si>
  <si>
    <t xml:space="preserve">IC REG LINEAR 3.3V 600MA SOT-25</t>
  </si>
  <si>
    <t xml:space="preserve">SOT-25</t>
  </si>
  <si>
    <t xml:space="preserve">U3</t>
  </si>
  <si>
    <t xml:space="preserve">Analog Devices Inc./Maxim Integrated</t>
  </si>
  <si>
    <t xml:space="preserve">MAX17048G_T10</t>
  </si>
  <si>
    <t xml:space="preserve">IC BATT MON LI-ION 1CELL 8TDFN</t>
  </si>
  <si>
    <t xml:space="preserve">8-TDFN-EP (2x2)</t>
  </si>
  <si>
    <t xml:space="preserve">U4</t>
  </si>
  <si>
    <t xml:space="preserve">Microchip Technology</t>
  </si>
  <si>
    <t xml:space="preserve">MCP73831T-2ACI/OT</t>
  </si>
  <si>
    <t xml:space="preserve">IC BATT CNTL LI-ION 1CEL SOT23-5</t>
  </si>
  <si>
    <t xml:space="preserve">SOT-23-5</t>
  </si>
  <si>
    <t xml:space="preserve">U5</t>
  </si>
  <si>
    <t xml:space="preserve">AP3036BKTR-G1</t>
  </si>
  <si>
    <t xml:space="preserve">IC LED DRVR RGLTR PWM SOT23-6</t>
  </si>
  <si>
    <t xml:space="preserve">SOT-23-6</t>
  </si>
  <si>
    <t xml:space="preserve">U6</t>
  </si>
  <si>
    <t xml:space="preserve">3PEAK</t>
  </si>
  <si>
    <t xml:space="preserve">TPM8837E-DF4R</t>
  </si>
  <si>
    <t xml:space="preserve">H-BRIDGE DRIVER 17V 1A 8-DFN</t>
  </si>
  <si>
    <t xml:space="preserve">8-WFDFN Exposed Pad</t>
  </si>
  <si>
    <t xml:space="preserve">L1</t>
  </si>
  <si>
    <t xml:space="preserve">Taiyo Yuden</t>
  </si>
  <si>
    <t xml:space="preserve">CBC3225T220MR</t>
  </si>
  <si>
    <t xml:space="preserve">22 uH</t>
  </si>
  <si>
    <t xml:space="preserve">1210</t>
  </si>
  <si>
    <t xml:space="preserve">SW1</t>
  </si>
  <si>
    <t xml:space="preserve">R1</t>
  </si>
  <si>
    <t xml:space="preserve">Panasonic Electronic Components</t>
  </si>
  <si>
    <t xml:space="preserve">ERJ-2GEJ5R1X</t>
  </si>
  <si>
    <t xml:space="preserve">5.1 ohms</t>
  </si>
  <si>
    <t xml:space="preserve">0402</t>
  </si>
  <si>
    <t xml:space="preserve">R2</t>
  </si>
  <si>
    <t xml:space="preserve">YAGEO</t>
  </si>
  <si>
    <t xml:space="preserve">RC0402FR-071ML</t>
  </si>
  <si>
    <t xml:space="preserve">1 M</t>
  </si>
  <si>
    <t xml:space="preserve">R3, R4</t>
  </si>
  <si>
    <t xml:space="preserve">RC0402FR-07100KL</t>
  </si>
  <si>
    <t xml:space="preserve">100 k</t>
  </si>
  <si>
    <t xml:space="preserve">R5, R6, R7, R8</t>
  </si>
  <si>
    <t xml:space="preserve">Stackpole Electronics Inc</t>
  </si>
  <si>
    <t xml:space="preserve">RMCF0402FT10K0</t>
  </si>
  <si>
    <t xml:space="preserve">10 k</t>
  </si>
  <si>
    <t xml:space="preserve">R9, R10, R11, R12, R13, R14, R15, R16, R17, R18, R19, R20, R21, R22, R23, R24, R25, R26, R27, R28, R31, R32, R33, R34, R35, R36, R37</t>
  </si>
  <si>
    <t xml:space="preserve">RC0402FR-075K1L</t>
  </si>
  <si>
    <t xml:space="preserve">5.1 k</t>
  </si>
  <si>
    <t xml:space="preserve">R29, R30</t>
  </si>
  <si>
    <t xml:space="preserve">RC0402FR-071KL</t>
  </si>
  <si>
    <t xml:space="preserve">1 k</t>
  </si>
  <si>
    <t xml:space="preserve">C1, C2, C3, C4, C5, C6, C7, C8, </t>
  </si>
  <si>
    <t xml:space="preserve">Murata Electronics</t>
  </si>
  <si>
    <t xml:space="preserve">GRM155R61A106ME11D</t>
  </si>
  <si>
    <t xml:space="preserve">10 uF</t>
  </si>
  <si>
    <t xml:space="preserve">C9, C10, C11, C12, C13, C14, C15, C16, C17, C18, C19, C20, </t>
  </si>
  <si>
    <t xml:space="preserve">KEMET</t>
  </si>
  <si>
    <t xml:space="preserve">C0402C105K9PACTU</t>
  </si>
  <si>
    <t xml:space="preserve">1 uF</t>
  </si>
  <si>
    <t xml:space="preserve">C21</t>
  </si>
  <si>
    <t xml:space="preserve">Walsin</t>
  </si>
  <si>
    <t xml:space="preserve">0402B104K160CT</t>
  </si>
  <si>
    <t xml:space="preserve">0.1 uF</t>
  </si>
  <si>
    <t xml:space="preserve">J3, J4, J5, J6, J7</t>
  </si>
  <si>
    <t xml:space="preserve">DNC (Do Not Connect)</t>
  </si>
  <si>
    <t xml:space="preserve">SW1, SW2, SW3, SW4, SW5, SW6, SW7, SW8, SW9, SW10, SW11, SW12</t>
  </si>
  <si>
    <t xml:space="preserve">BZ1</t>
  </si>
  <si>
    <t xml:space="preserve">R38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</si>
</sst>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rgb="FF0000FF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666000</xdr:colOff>
      <xdr:row>2</xdr:row>
      <xdr:rowOff>156240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76640" cy="375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37" activeCellId="0" sqref="D37"/>
    </sheetView>
  </sheetViews>
  <sheetFormatPr defaultColWidth="9.00390625" defaultRowHeight="14.2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26.59"/>
    <col collapsed="false" customWidth="false" hidden="false" outlineLevel="0" max="3" min="3" style="1" width="9"/>
    <col collapsed="false" customWidth="true" hidden="false" outlineLevel="0" max="4" min="4" style="1" width="33.36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20.87"/>
    <col collapsed="false" customWidth="true" hidden="false" outlineLevel="0" max="8" min="8" style="1" width="13.63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6" t="n">
        <v>1</v>
      </c>
      <c r="B7" s="7" t="s">
        <v>10</v>
      </c>
      <c r="C7" s="6" t="n">
        <v>1</v>
      </c>
      <c r="D7" s="7" t="s">
        <v>11</v>
      </c>
      <c r="E7" s="7" t="s">
        <v>12</v>
      </c>
      <c r="F7" s="8" t="s">
        <v>13</v>
      </c>
      <c r="G7" s="8" t="s">
        <v>14</v>
      </c>
      <c r="H7" s="9" t="s">
        <v>15</v>
      </c>
      <c r="I7" s="9"/>
    </row>
    <row r="8" customFormat="false" ht="13.8" hidden="false" customHeight="false" outlineLevel="0" collapsed="false">
      <c r="A8" s="6" t="n">
        <v>2</v>
      </c>
      <c r="B8" s="7" t="s">
        <v>16</v>
      </c>
      <c r="C8" s="6" t="n">
        <v>7</v>
      </c>
      <c r="D8" s="7" t="s">
        <v>17</v>
      </c>
      <c r="E8" s="7" t="s">
        <v>18</v>
      </c>
      <c r="F8" s="8" t="s">
        <v>19</v>
      </c>
      <c r="G8" s="8" t="s">
        <v>20</v>
      </c>
      <c r="H8" s="9" t="s">
        <v>15</v>
      </c>
      <c r="I8" s="10"/>
    </row>
    <row r="9" customFormat="false" ht="13.8" hidden="false" customHeight="false" outlineLevel="0" collapsed="false">
      <c r="A9" s="6" t="n">
        <v>3</v>
      </c>
      <c r="B9" s="7" t="s">
        <v>21</v>
      </c>
      <c r="C9" s="6" t="n">
        <v>6</v>
      </c>
      <c r="D9" s="7" t="s">
        <v>17</v>
      </c>
      <c r="E9" s="7" t="s">
        <v>22</v>
      </c>
      <c r="F9" s="8" t="s">
        <v>23</v>
      </c>
      <c r="G9" s="8" t="s">
        <v>20</v>
      </c>
      <c r="H9" s="9" t="s">
        <v>15</v>
      </c>
      <c r="I9" s="9"/>
    </row>
    <row r="10" customFormat="false" ht="14.25" hidden="false" customHeight="false" outlineLevel="0" collapsed="false">
      <c r="A10" s="6" t="n">
        <v>4</v>
      </c>
      <c r="B10" s="7" t="s">
        <v>24</v>
      </c>
      <c r="C10" s="6" t="n">
        <v>1</v>
      </c>
      <c r="D10" s="7" t="s">
        <v>25</v>
      </c>
      <c r="E10" s="7" t="s">
        <v>26</v>
      </c>
      <c r="F10" s="8" t="s">
        <v>27</v>
      </c>
      <c r="G10" s="8" t="s">
        <v>28</v>
      </c>
      <c r="H10" s="9" t="s">
        <v>15</v>
      </c>
      <c r="I10" s="9"/>
    </row>
    <row r="11" customFormat="false" ht="14.25" hidden="false" customHeight="false" outlineLevel="0" collapsed="false">
      <c r="A11" s="6" t="n">
        <v>5</v>
      </c>
      <c r="B11" s="7" t="s">
        <v>29</v>
      </c>
      <c r="C11" s="6" t="n">
        <v>1</v>
      </c>
      <c r="D11" s="7" t="s">
        <v>30</v>
      </c>
      <c r="E11" s="7" t="s">
        <v>31</v>
      </c>
      <c r="F11" s="8" t="s">
        <v>32</v>
      </c>
      <c r="G11" s="8" t="s">
        <v>33</v>
      </c>
      <c r="H11" s="9" t="s">
        <v>15</v>
      </c>
      <c r="I11" s="9"/>
    </row>
    <row r="12" customFormat="false" ht="13.8" hidden="false" customHeight="false" outlineLevel="0" collapsed="false">
      <c r="A12" s="6" t="n">
        <v>6</v>
      </c>
      <c r="B12" s="7" t="s">
        <v>34</v>
      </c>
      <c r="C12" s="6" t="n">
        <v>1</v>
      </c>
      <c r="D12" s="7" t="s">
        <v>35</v>
      </c>
      <c r="E12" s="7" t="s">
        <v>36</v>
      </c>
      <c r="F12" s="8" t="s">
        <v>37</v>
      </c>
      <c r="G12" s="11"/>
      <c r="H12" s="9" t="s">
        <v>15</v>
      </c>
      <c r="I12" s="9"/>
    </row>
    <row r="13" customFormat="false" ht="13.8" hidden="false" customHeight="false" outlineLevel="0" collapsed="false">
      <c r="A13" s="6" t="n">
        <v>7</v>
      </c>
      <c r="B13" s="7" t="s">
        <v>38</v>
      </c>
      <c r="C13" s="6" t="n">
        <v>1</v>
      </c>
      <c r="D13" s="12" t="s">
        <v>39</v>
      </c>
      <c r="E13" s="7" t="s">
        <v>40</v>
      </c>
      <c r="F13" s="8" t="s">
        <v>41</v>
      </c>
      <c r="G13" s="11"/>
      <c r="H13" s="9" t="s">
        <v>15</v>
      </c>
      <c r="I13" s="9"/>
    </row>
    <row r="14" customFormat="false" ht="13.8" hidden="false" customHeight="false" outlineLevel="0" collapsed="false">
      <c r="A14" s="6" t="n">
        <v>8</v>
      </c>
      <c r="B14" s="12" t="s">
        <v>42</v>
      </c>
      <c r="C14" s="6" t="n">
        <v>1</v>
      </c>
      <c r="D14" s="12" t="s">
        <v>43</v>
      </c>
      <c r="E14" s="12" t="s">
        <v>44</v>
      </c>
      <c r="F14" s="12" t="s">
        <v>45</v>
      </c>
      <c r="G14" s="12" t="s">
        <v>46</v>
      </c>
      <c r="H14" s="9" t="s">
        <v>15</v>
      </c>
      <c r="I14" s="9"/>
    </row>
    <row r="15" customFormat="false" ht="13.8" hidden="false" customHeight="false" outlineLevel="0" collapsed="false">
      <c r="A15" s="6" t="n">
        <v>9</v>
      </c>
      <c r="B15" s="7" t="s">
        <v>47</v>
      </c>
      <c r="C15" s="6" t="n">
        <v>1</v>
      </c>
      <c r="D15" s="12" t="s">
        <v>30</v>
      </c>
      <c r="E15" s="7" t="s">
        <v>48</v>
      </c>
      <c r="F15" s="7" t="s">
        <v>49</v>
      </c>
      <c r="G15" s="11" t="s">
        <v>50</v>
      </c>
      <c r="H15" s="9" t="s">
        <v>15</v>
      </c>
      <c r="I15" s="9"/>
    </row>
    <row r="16" customFormat="false" ht="13.8" hidden="false" customHeight="false" outlineLevel="0" collapsed="false">
      <c r="A16" s="6" t="n">
        <v>10</v>
      </c>
      <c r="B16" s="7" t="s">
        <v>51</v>
      </c>
      <c r="C16" s="6" t="n">
        <v>1</v>
      </c>
      <c r="D16" s="7" t="s">
        <v>52</v>
      </c>
      <c r="E16" s="7" t="s">
        <v>53</v>
      </c>
      <c r="F16" s="7" t="s">
        <v>54</v>
      </c>
      <c r="G16" s="11" t="s">
        <v>55</v>
      </c>
      <c r="H16" s="9" t="s">
        <v>15</v>
      </c>
      <c r="I16" s="10"/>
    </row>
    <row r="17" customFormat="false" ht="13.8" hidden="false" customHeight="false" outlineLevel="0" collapsed="false">
      <c r="A17" s="6" t="n">
        <v>11</v>
      </c>
      <c r="B17" s="7" t="s">
        <v>56</v>
      </c>
      <c r="C17" s="6" t="n">
        <v>1</v>
      </c>
      <c r="D17" s="7" t="s">
        <v>57</v>
      </c>
      <c r="E17" s="7" t="s">
        <v>58</v>
      </c>
      <c r="F17" s="7" t="s">
        <v>59</v>
      </c>
      <c r="G17" s="11" t="s">
        <v>60</v>
      </c>
      <c r="H17" s="9" t="s">
        <v>15</v>
      </c>
      <c r="I17" s="9"/>
    </row>
    <row r="18" customFormat="false" ht="13.8" hidden="false" customHeight="false" outlineLevel="0" collapsed="false">
      <c r="A18" s="6" t="n">
        <v>12</v>
      </c>
      <c r="B18" s="7" t="s">
        <v>61</v>
      </c>
      <c r="C18" s="6" t="n">
        <v>1</v>
      </c>
      <c r="D18" s="12" t="s">
        <v>30</v>
      </c>
      <c r="E18" s="7" t="s">
        <v>62</v>
      </c>
      <c r="F18" s="8" t="s">
        <v>63</v>
      </c>
      <c r="G18" s="11" t="s">
        <v>64</v>
      </c>
      <c r="H18" s="9" t="s">
        <v>15</v>
      </c>
      <c r="I18" s="9"/>
    </row>
    <row r="19" customFormat="false" ht="13.8" hidden="false" customHeight="false" outlineLevel="0" collapsed="false">
      <c r="A19" s="6" t="n">
        <v>13</v>
      </c>
      <c r="B19" s="7" t="s">
        <v>65</v>
      </c>
      <c r="C19" s="6" t="n">
        <v>1</v>
      </c>
      <c r="D19" s="7" t="s">
        <v>66</v>
      </c>
      <c r="E19" s="7" t="s">
        <v>67</v>
      </c>
      <c r="F19" s="7" t="s">
        <v>68</v>
      </c>
      <c r="G19" s="11" t="s">
        <v>69</v>
      </c>
      <c r="H19" s="9" t="s">
        <v>15</v>
      </c>
      <c r="I19" s="9"/>
    </row>
    <row r="20" customFormat="false" ht="13.8" hidden="false" customHeight="false" outlineLevel="0" collapsed="false">
      <c r="A20" s="6" t="n">
        <v>14</v>
      </c>
      <c r="B20" s="7" t="s">
        <v>70</v>
      </c>
      <c r="C20" s="6" t="n">
        <v>1</v>
      </c>
      <c r="D20" s="7" t="s">
        <v>71</v>
      </c>
      <c r="E20" s="7" t="s">
        <v>72</v>
      </c>
      <c r="F20" s="7" t="s">
        <v>73</v>
      </c>
      <c r="G20" s="11" t="s">
        <v>74</v>
      </c>
      <c r="H20" s="9" t="s">
        <v>15</v>
      </c>
      <c r="I20" s="9"/>
    </row>
    <row r="21" customFormat="false" ht="13.8" hidden="false" customHeight="false" outlineLevel="0" collapsed="false">
      <c r="A21" s="6" t="n">
        <v>15</v>
      </c>
      <c r="B21" s="12" t="s">
        <v>75</v>
      </c>
      <c r="C21" s="6" t="n">
        <v>1</v>
      </c>
      <c r="D21" s="12" t="s">
        <v>43</v>
      </c>
      <c r="E21" s="12" t="s">
        <v>44</v>
      </c>
      <c r="F21" s="12" t="s">
        <v>45</v>
      </c>
      <c r="G21" s="12" t="s">
        <v>46</v>
      </c>
      <c r="H21" s="9" t="s">
        <v>15</v>
      </c>
      <c r="I21" s="9"/>
    </row>
    <row r="22" customFormat="false" ht="13.8" hidden="false" customHeight="false" outlineLevel="0" collapsed="false">
      <c r="A22" s="6" t="n">
        <v>16</v>
      </c>
      <c r="B22" s="7" t="s">
        <v>76</v>
      </c>
      <c r="C22" s="6" t="n">
        <v>1</v>
      </c>
      <c r="D22" s="12" t="s">
        <v>77</v>
      </c>
      <c r="E22" s="12" t="s">
        <v>78</v>
      </c>
      <c r="F22" s="7" t="s">
        <v>79</v>
      </c>
      <c r="G22" s="11" t="s">
        <v>80</v>
      </c>
      <c r="H22" s="9" t="s">
        <v>15</v>
      </c>
    </row>
    <row r="23" customFormat="false" ht="13.8" hidden="false" customHeight="false" outlineLevel="0" collapsed="false">
      <c r="A23" s="6" t="n">
        <v>17</v>
      </c>
      <c r="B23" s="7" t="s">
        <v>81</v>
      </c>
      <c r="C23" s="6" t="n">
        <v>1</v>
      </c>
      <c r="D23" s="7" t="s">
        <v>82</v>
      </c>
      <c r="E23" s="7" t="s">
        <v>83</v>
      </c>
      <c r="F23" s="7" t="s">
        <v>84</v>
      </c>
      <c r="G23" s="11" t="s">
        <v>80</v>
      </c>
      <c r="H23" s="9" t="s">
        <v>15</v>
      </c>
    </row>
    <row r="24" customFormat="false" ht="13.5" hidden="false" customHeight="false" outlineLevel="0" collapsed="false">
      <c r="A24" s="6" t="n">
        <v>18</v>
      </c>
      <c r="B24" s="7" t="s">
        <v>85</v>
      </c>
      <c r="C24" s="6" t="n">
        <v>2</v>
      </c>
      <c r="D24" s="7" t="s">
        <v>82</v>
      </c>
      <c r="E24" s="7" t="s">
        <v>86</v>
      </c>
      <c r="F24" s="7" t="s">
        <v>87</v>
      </c>
      <c r="G24" s="11" t="s">
        <v>80</v>
      </c>
      <c r="H24" s="9" t="s">
        <v>15</v>
      </c>
      <c r="I24" s="13"/>
    </row>
    <row r="25" customFormat="false" ht="13.8" hidden="false" customHeight="false" outlineLevel="0" collapsed="false">
      <c r="A25" s="6" t="n">
        <v>19</v>
      </c>
      <c r="B25" s="7" t="s">
        <v>88</v>
      </c>
      <c r="C25" s="6" t="n">
        <v>4</v>
      </c>
      <c r="D25" s="7" t="s">
        <v>89</v>
      </c>
      <c r="E25" s="7" t="s">
        <v>90</v>
      </c>
      <c r="F25" s="7" t="s">
        <v>91</v>
      </c>
      <c r="G25" s="11" t="s">
        <v>80</v>
      </c>
      <c r="H25" s="9" t="s">
        <v>15</v>
      </c>
    </row>
    <row r="26" customFormat="false" ht="13.8" hidden="false" customHeight="false" outlineLevel="0" collapsed="false">
      <c r="A26" s="6" t="n">
        <v>20</v>
      </c>
      <c r="B26" s="1" t="s">
        <v>92</v>
      </c>
      <c r="C26" s="6" t="n">
        <v>27</v>
      </c>
      <c r="D26" s="1" t="s">
        <v>82</v>
      </c>
      <c r="E26" s="1" t="s">
        <v>93</v>
      </c>
      <c r="F26" s="1" t="s">
        <v>94</v>
      </c>
      <c r="G26" s="11" t="s">
        <v>80</v>
      </c>
      <c r="H26" s="9" t="s">
        <v>15</v>
      </c>
    </row>
    <row r="27" customFormat="false" ht="13.8" hidden="false" customHeight="false" outlineLevel="0" collapsed="false">
      <c r="A27" s="6" t="n">
        <v>21</v>
      </c>
      <c r="B27" s="1" t="s">
        <v>95</v>
      </c>
      <c r="C27" s="6" t="n">
        <v>2</v>
      </c>
      <c r="D27" s="7" t="s">
        <v>82</v>
      </c>
      <c r="E27" s="1" t="s">
        <v>96</v>
      </c>
      <c r="F27" s="1" t="s">
        <v>97</v>
      </c>
      <c r="G27" s="11" t="s">
        <v>80</v>
      </c>
      <c r="H27" s="9" t="s">
        <v>15</v>
      </c>
    </row>
    <row r="28" customFormat="false" ht="13.8" hidden="false" customHeight="false" outlineLevel="0" collapsed="false">
      <c r="A28" s="6" t="n">
        <v>22</v>
      </c>
      <c r="B28" s="1" t="s">
        <v>98</v>
      </c>
      <c r="C28" s="6" t="n">
        <v>8</v>
      </c>
      <c r="D28" s="1" t="s">
        <v>99</v>
      </c>
      <c r="E28" s="1" t="s">
        <v>100</v>
      </c>
      <c r="F28" s="1" t="s">
        <v>101</v>
      </c>
      <c r="G28" s="11" t="s">
        <v>80</v>
      </c>
      <c r="H28" s="9" t="s">
        <v>15</v>
      </c>
    </row>
    <row r="29" customFormat="false" ht="13.8" hidden="false" customHeight="false" outlineLevel="0" collapsed="false">
      <c r="A29" s="6" t="n">
        <v>23</v>
      </c>
      <c r="B29" s="12" t="s">
        <v>102</v>
      </c>
      <c r="C29" s="6" t="n">
        <v>12</v>
      </c>
      <c r="D29" s="12" t="s">
        <v>103</v>
      </c>
      <c r="E29" s="12" t="s">
        <v>104</v>
      </c>
      <c r="F29" s="12" t="s">
        <v>105</v>
      </c>
      <c r="G29" s="11" t="s">
        <v>80</v>
      </c>
      <c r="H29" s="9" t="s">
        <v>15</v>
      </c>
    </row>
    <row r="30" customFormat="false" ht="13.8" hidden="false" customHeight="false" outlineLevel="0" collapsed="false">
      <c r="A30" s="6" t="n">
        <v>24</v>
      </c>
      <c r="B30" s="12" t="s">
        <v>106</v>
      </c>
      <c r="C30" s="6" t="n">
        <v>1</v>
      </c>
      <c r="D30" s="12" t="s">
        <v>107</v>
      </c>
      <c r="E30" s="12" t="s">
        <v>108</v>
      </c>
      <c r="F30" s="12" t="s">
        <v>109</v>
      </c>
      <c r="G30" s="11" t="s">
        <v>80</v>
      </c>
      <c r="H30" s="9" t="s">
        <v>15</v>
      </c>
    </row>
    <row r="31" customFormat="false" ht="13.8" hidden="false" customHeight="false" outlineLevel="0" collapsed="false">
      <c r="A31" s="6" t="n">
        <v>25</v>
      </c>
      <c r="B31" s="7" t="s">
        <v>110</v>
      </c>
      <c r="C31" s="6" t="n">
        <v>0</v>
      </c>
      <c r="D31" s="7"/>
      <c r="E31" s="7"/>
      <c r="F31" s="7" t="s">
        <v>111</v>
      </c>
      <c r="G31" s="11"/>
      <c r="H31" s="9"/>
    </row>
    <row r="32" customFormat="false" ht="13.8" hidden="false" customHeight="false" outlineLevel="0" collapsed="false">
      <c r="A32" s="6" t="n">
        <v>26</v>
      </c>
      <c r="B32" s="12" t="s">
        <v>112</v>
      </c>
      <c r="C32" s="6" t="n">
        <v>12</v>
      </c>
      <c r="D32" s="7"/>
      <c r="E32" s="7"/>
      <c r="F32" s="7"/>
    </row>
    <row r="33" customFormat="false" ht="13.8" hidden="false" customHeight="false" outlineLevel="0" collapsed="false">
      <c r="A33" s="6" t="n">
        <v>27</v>
      </c>
      <c r="B33" s="12" t="s">
        <v>113</v>
      </c>
      <c r="C33" s="6" t="n">
        <v>0</v>
      </c>
      <c r="D33" s="7"/>
      <c r="E33" s="7"/>
      <c r="F33" s="7" t="s">
        <v>111</v>
      </c>
    </row>
    <row r="34" customFormat="false" ht="13.8" hidden="false" customHeight="false" outlineLevel="0" collapsed="false">
      <c r="A34" s="6" t="n">
        <v>28</v>
      </c>
      <c r="B34" s="12" t="s">
        <v>114</v>
      </c>
      <c r="C34" s="6" t="n">
        <v>0</v>
      </c>
      <c r="D34" s="7"/>
      <c r="E34" s="7"/>
      <c r="F34" s="7" t="s">
        <v>111</v>
      </c>
    </row>
    <row r="35" customFormat="false" ht="13.8" hidden="false" customHeight="false" outlineLevel="0" collapsed="false">
      <c r="A35" s="12"/>
      <c r="B35" s="12"/>
      <c r="C35" s="12" t="n">
        <f aca="false">SUM(C7:C34)</f>
        <v>96</v>
      </c>
      <c r="D35" s="12"/>
      <c r="E35" s="12"/>
      <c r="F35" s="12"/>
    </row>
    <row r="36" customFormat="false" ht="13.8" hidden="false" customHeight="false" outlineLevel="0" collapsed="false">
      <c r="A36" s="12"/>
      <c r="B36" s="12"/>
      <c r="C36" s="12"/>
      <c r="D36" s="12"/>
      <c r="E36" s="12"/>
      <c r="F36" s="1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cols>
    <col collapsed="false" customWidth="false" hidden="false" outlineLevel="0" max="16384" min="1" style="12" width="9"/>
  </cols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cols>
    <col collapsed="false" customWidth="false" hidden="false" outlineLevel="0" max="16384" min="1" style="12" width="9"/>
  </cols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2026-06-30T07:18:41Z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